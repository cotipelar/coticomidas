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eonel/Documents/"/>
    </mc:Choice>
  </mc:AlternateContent>
  <xr:revisionPtr revIDLastSave="0" documentId="13_ncr:1_{390DFED5-959E-6245-B98E-36AB47AFDEC9}" xr6:coauthVersionLast="47" xr6:coauthVersionMax="47" xr10:uidLastSave="{00000000-0000-0000-0000-000000000000}"/>
  <bookViews>
    <workbookView xWindow="0" yWindow="500" windowWidth="28800" windowHeight="16060" xr2:uid="{0C167719-83B4-2240-A98D-9ACED334274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5" i="1" l="1"/>
  <c r="W9" i="1"/>
  <c r="T3" i="1"/>
  <c r="W3" i="1" s="1"/>
  <c r="T4" i="1"/>
  <c r="W4" i="1" s="1"/>
  <c r="T5" i="1"/>
  <c r="T6" i="1"/>
  <c r="W6" i="1" s="1"/>
  <c r="T7" i="1"/>
  <c r="W7" i="1" s="1"/>
  <c r="T8" i="1"/>
  <c r="W8" i="1" s="1"/>
  <c r="T9" i="1"/>
  <c r="T10" i="1"/>
  <c r="W10" i="1" s="1"/>
  <c r="T11" i="1"/>
  <c r="W11" i="1" s="1"/>
  <c r="T2" i="1"/>
  <c r="W2" i="1" s="1"/>
  <c r="N35" i="1"/>
  <c r="I42" i="1"/>
  <c r="I48" i="1" s="1"/>
  <c r="I49" i="1" s="1"/>
  <c r="I51" i="1" s="1"/>
  <c r="I46" i="1"/>
  <c r="H46" i="1"/>
  <c r="I43" i="1"/>
  <c r="D46" i="1"/>
  <c r="C46" i="1"/>
  <c r="D43" i="1"/>
  <c r="D42" i="1"/>
  <c r="D48" i="1" s="1"/>
  <c r="D49" i="1" s="1"/>
  <c r="D51" i="1" s="1"/>
  <c r="M29" i="1"/>
  <c r="N29" i="1" s="1"/>
  <c r="M28" i="1"/>
  <c r="N28" i="1" s="1"/>
  <c r="N27" i="1"/>
  <c r="N32" i="1" s="1"/>
  <c r="N33" i="1" s="1"/>
  <c r="H29" i="1"/>
  <c r="I29" i="1" s="1"/>
  <c r="I28" i="1"/>
  <c r="H28" i="1"/>
  <c r="H27" i="1"/>
  <c r="I27" i="1" s="1"/>
  <c r="I32" i="1" s="1"/>
  <c r="I33" i="1" s="1"/>
  <c r="I35" i="1" s="1"/>
  <c r="D31" i="1"/>
  <c r="C31" i="1"/>
  <c r="D30" i="1"/>
  <c r="D29" i="1"/>
  <c r="C28" i="1"/>
  <c r="D28" i="1" s="1"/>
  <c r="C27" i="1"/>
  <c r="D27" i="1" s="1"/>
  <c r="D34" i="1" s="1"/>
  <c r="D35" i="1" s="1"/>
  <c r="D37" i="1" s="1"/>
  <c r="I19" i="1"/>
  <c r="I18" i="1"/>
  <c r="I17" i="1"/>
  <c r="I16" i="1"/>
  <c r="I14" i="1"/>
  <c r="I20" i="1" s="1"/>
  <c r="I22" i="1" s="1"/>
  <c r="I15" i="1"/>
  <c r="D18" i="1"/>
  <c r="D16" i="1"/>
  <c r="D15" i="1"/>
  <c r="D17" i="1"/>
  <c r="N5" i="1"/>
  <c r="N4" i="1"/>
  <c r="I8" i="1"/>
  <c r="I7" i="1"/>
  <c r="I6" i="1"/>
  <c r="I5" i="1"/>
  <c r="I4" i="1"/>
  <c r="I9" i="1" s="1"/>
  <c r="I11" i="1" s="1"/>
  <c r="D5" i="1"/>
  <c r="D4" i="1"/>
  <c r="D20" i="1" l="1"/>
  <c r="D22" i="1" s="1"/>
  <c r="D9" i="1"/>
  <c r="D11" i="1" s="1"/>
  <c r="N9" i="1"/>
  <c r="N11" i="1" s="1"/>
  <c r="W12" i="1"/>
</calcChain>
</file>

<file path=xl/sharedStrings.xml><?xml version="1.0" encoding="utf-8"?>
<sst xmlns="http://schemas.openxmlformats.org/spreadsheetml/2006/main" count="160" uniqueCount="61">
  <si>
    <t>producto</t>
  </si>
  <si>
    <t>cantidad</t>
  </si>
  <si>
    <t>costo</t>
  </si>
  <si>
    <t>jamon</t>
  </si>
  <si>
    <t>queso</t>
  </si>
  <si>
    <t>tapa empanada</t>
  </si>
  <si>
    <t>1x12</t>
  </si>
  <si>
    <t>empanadas jyq</t>
  </si>
  <si>
    <t>costo total</t>
  </si>
  <si>
    <t>costo x kg</t>
  </si>
  <si>
    <t>bandeja</t>
  </si>
  <si>
    <t>bolsa</t>
  </si>
  <si>
    <t>bolsa arranque</t>
  </si>
  <si>
    <t>bolsa camiseta</t>
  </si>
  <si>
    <t>empanada carne</t>
  </si>
  <si>
    <t>carne picada</t>
  </si>
  <si>
    <t>aceitunas</t>
  </si>
  <si>
    <t>cebolla</t>
  </si>
  <si>
    <t>zanahoria</t>
  </si>
  <si>
    <t>pimiento</t>
  </si>
  <si>
    <t>aceite</t>
  </si>
  <si>
    <t>empanada verdura</t>
  </si>
  <si>
    <t>acelga</t>
  </si>
  <si>
    <t>albondigas</t>
  </si>
  <si>
    <t>1 kg</t>
  </si>
  <si>
    <t>pan rallado</t>
  </si>
  <si>
    <t>huevo</t>
  </si>
  <si>
    <t>pastel de papas</t>
  </si>
  <si>
    <t>papas</t>
  </si>
  <si>
    <t>POSTRES</t>
  </si>
  <si>
    <t>tiramisu</t>
  </si>
  <si>
    <t>queso crema</t>
  </si>
  <si>
    <t>crema de leche</t>
  </si>
  <si>
    <t>azucar</t>
  </si>
  <si>
    <t>vainillas</t>
  </si>
  <si>
    <t>cafe</t>
  </si>
  <si>
    <t>costo por porcion</t>
  </si>
  <si>
    <t>pote</t>
  </si>
  <si>
    <t>postre oreo</t>
  </si>
  <si>
    <t>oreo</t>
  </si>
  <si>
    <t>dulce de leche</t>
  </si>
  <si>
    <t>crema chantilli</t>
  </si>
  <si>
    <t>chocotorta</t>
  </si>
  <si>
    <t>BUDINES</t>
  </si>
  <si>
    <t>budin naranja</t>
  </si>
  <si>
    <t>naranja</t>
  </si>
  <si>
    <t>harina</t>
  </si>
  <si>
    <t>huevos</t>
  </si>
  <si>
    <t>molde</t>
  </si>
  <si>
    <t>limon/mandarina</t>
  </si>
  <si>
    <t>budin limon/mandarina</t>
  </si>
  <si>
    <t>venta</t>
  </si>
  <si>
    <t>ganancia</t>
  </si>
  <si>
    <t>empanadas jyc</t>
  </si>
  <si>
    <t>empanadas carne</t>
  </si>
  <si>
    <t>empanadas verdura</t>
  </si>
  <si>
    <t>empanadas pollo</t>
  </si>
  <si>
    <t>albondigas kg</t>
  </si>
  <si>
    <t>budines</t>
  </si>
  <si>
    <t>total</t>
  </si>
  <si>
    <t>pedidos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</si>
</sst>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F6EBB-FE79-F240-A14B-49F30833C223}">
  <dimension ref="A1:W51"/>
  <sheetViews>
    <sheetView tabSelected="1" workbookViewId="0">
      <selection activeCell="V17" sqref="V17"/>
    </sheetView>
  </sheetViews>
  <sheetFormatPr baseColWidth="10" defaultRowHeight="16" x14ac:dyDescent="0.2"/>
  <cols>
    <col min="17" max="17" width="17.5" bestFit="1" customWidth="1"/>
  </cols>
  <sheetData>
    <row r="1" spans="1:23" x14ac:dyDescent="0.2">
      <c r="A1" t="s">
        <v>7</v>
      </c>
      <c r="F1" t="s">
        <v>14</v>
      </c>
      <c r="K1" t="s">
        <v>21</v>
      </c>
      <c r="Q1" t="s">
        <v>0</v>
      </c>
      <c r="R1" t="s">
        <v>2</v>
      </c>
      <c r="S1" t="s">
        <v>51</v>
      </c>
      <c r="T1" t="s">
        <v>52</v>
      </c>
      <c r="V1" t="s">
        <v>60</v>
      </c>
      <c r="W1" t="s">
        <v>52</v>
      </c>
    </row>
    <row r="2" spans="1:23" x14ac:dyDescent="0.2">
      <c r="A2" t="s">
        <v>0</v>
      </c>
      <c r="B2" t="s">
        <v>1</v>
      </c>
      <c r="C2" t="s">
        <v>9</v>
      </c>
      <c r="D2" t="s">
        <v>2</v>
      </c>
      <c r="F2" t="s">
        <v>0</v>
      </c>
      <c r="G2" t="s">
        <v>1</v>
      </c>
      <c r="H2" t="s">
        <v>9</v>
      </c>
      <c r="I2" t="s">
        <v>2</v>
      </c>
      <c r="K2" t="s">
        <v>0</v>
      </c>
      <c r="L2" t="s">
        <v>1</v>
      </c>
      <c r="M2" t="s">
        <v>9</v>
      </c>
      <c r="N2" t="s">
        <v>2</v>
      </c>
      <c r="Q2" t="s">
        <v>53</v>
      </c>
      <c r="R2">
        <v>8824</v>
      </c>
      <c r="S2">
        <v>16000</v>
      </c>
      <c r="T2">
        <f>S2-R2</f>
        <v>7176</v>
      </c>
      <c r="V2">
        <v>3</v>
      </c>
      <c r="W2">
        <f>V2*T2</f>
        <v>21528</v>
      </c>
    </row>
    <row r="3" spans="1:23" x14ac:dyDescent="0.2">
      <c r="A3" t="s">
        <v>5</v>
      </c>
      <c r="B3" t="s">
        <v>6</v>
      </c>
      <c r="C3">
        <v>1600</v>
      </c>
      <c r="D3">
        <v>1600</v>
      </c>
      <c r="F3" t="s">
        <v>5</v>
      </c>
      <c r="G3" t="s">
        <v>6</v>
      </c>
      <c r="H3">
        <v>1600</v>
      </c>
      <c r="I3">
        <v>1600</v>
      </c>
      <c r="K3" t="s">
        <v>5</v>
      </c>
      <c r="L3" t="s">
        <v>6</v>
      </c>
      <c r="M3">
        <v>1600</v>
      </c>
      <c r="N3">
        <v>1600</v>
      </c>
      <c r="Q3" t="s">
        <v>54</v>
      </c>
      <c r="R3">
        <v>10327</v>
      </c>
      <c r="S3">
        <v>16000</v>
      </c>
      <c r="T3">
        <f t="shared" ref="T3:T11" si="0">S3-R3</f>
        <v>5673</v>
      </c>
      <c r="V3">
        <v>2</v>
      </c>
      <c r="W3">
        <f t="shared" ref="W3:W10" si="1">V3*T3</f>
        <v>11346</v>
      </c>
    </row>
    <row r="4" spans="1:23" x14ac:dyDescent="0.2">
      <c r="A4" t="s">
        <v>3</v>
      </c>
      <c r="B4">
        <v>300</v>
      </c>
      <c r="C4">
        <v>11990</v>
      </c>
      <c r="D4">
        <f>(C4/1000)*B4</f>
        <v>3597</v>
      </c>
      <c r="F4" t="s">
        <v>15</v>
      </c>
      <c r="G4">
        <v>667</v>
      </c>
      <c r="H4">
        <v>7900</v>
      </c>
      <c r="I4">
        <f>H4*0.667</f>
        <v>5269.3</v>
      </c>
      <c r="K4" t="s">
        <v>22</v>
      </c>
      <c r="L4">
        <v>1.33</v>
      </c>
      <c r="M4">
        <v>790</v>
      </c>
      <c r="N4">
        <f>M4*1.33</f>
        <v>1050.7</v>
      </c>
      <c r="Q4" t="s">
        <v>55</v>
      </c>
      <c r="R4">
        <v>4400</v>
      </c>
      <c r="S4">
        <v>16000</v>
      </c>
      <c r="T4">
        <f t="shared" si="0"/>
        <v>11600</v>
      </c>
      <c r="W4">
        <f t="shared" si="1"/>
        <v>0</v>
      </c>
    </row>
    <row r="5" spans="1:23" x14ac:dyDescent="0.2">
      <c r="A5" t="s">
        <v>4</v>
      </c>
      <c r="B5">
        <v>300</v>
      </c>
      <c r="C5">
        <v>10950</v>
      </c>
      <c r="D5">
        <f>C5*0.3</f>
        <v>3285</v>
      </c>
      <c r="F5" t="s">
        <v>16</v>
      </c>
      <c r="G5">
        <v>40</v>
      </c>
      <c r="H5">
        <v>18324</v>
      </c>
      <c r="I5">
        <f>H5*0.04</f>
        <v>732.96</v>
      </c>
      <c r="K5" t="s">
        <v>17</v>
      </c>
      <c r="L5">
        <v>500</v>
      </c>
      <c r="M5">
        <v>3500</v>
      </c>
      <c r="N5">
        <f>M5*0.5</f>
        <v>1750</v>
      </c>
      <c r="Q5" t="s">
        <v>56</v>
      </c>
      <c r="R5">
        <v>10327</v>
      </c>
      <c r="S5">
        <v>16000</v>
      </c>
      <c r="T5">
        <f t="shared" si="0"/>
        <v>5673</v>
      </c>
      <c r="V5">
        <v>4</v>
      </c>
      <c r="W5">
        <f t="shared" si="1"/>
        <v>22692</v>
      </c>
    </row>
    <row r="6" spans="1:23" x14ac:dyDescent="0.2">
      <c r="A6" t="s">
        <v>10</v>
      </c>
      <c r="B6">
        <v>1</v>
      </c>
      <c r="D6">
        <v>174</v>
      </c>
      <c r="F6" t="s">
        <v>17</v>
      </c>
      <c r="G6">
        <v>500</v>
      </c>
      <c r="H6">
        <v>3500</v>
      </c>
      <c r="I6">
        <f>H6*0.5</f>
        <v>1750</v>
      </c>
      <c r="Q6" t="s">
        <v>57</v>
      </c>
      <c r="R6">
        <v>10135</v>
      </c>
      <c r="S6">
        <v>15000</v>
      </c>
      <c r="T6">
        <f t="shared" si="0"/>
        <v>4865</v>
      </c>
      <c r="W6">
        <f t="shared" si="1"/>
        <v>0</v>
      </c>
    </row>
    <row r="7" spans="1:23" x14ac:dyDescent="0.2">
      <c r="A7" t="s">
        <v>12</v>
      </c>
      <c r="B7">
        <v>1</v>
      </c>
      <c r="D7">
        <v>120</v>
      </c>
      <c r="F7" t="s">
        <v>18</v>
      </c>
      <c r="G7">
        <v>150</v>
      </c>
      <c r="H7">
        <v>2500</v>
      </c>
      <c r="I7">
        <f>H7*0.15</f>
        <v>375</v>
      </c>
      <c r="Q7" t="s">
        <v>27</v>
      </c>
      <c r="R7">
        <v>5021</v>
      </c>
      <c r="S7">
        <v>7500</v>
      </c>
      <c r="T7">
        <f t="shared" si="0"/>
        <v>2479</v>
      </c>
      <c r="V7">
        <v>2</v>
      </c>
      <c r="W7">
        <f t="shared" si="1"/>
        <v>4958</v>
      </c>
    </row>
    <row r="8" spans="1:23" x14ac:dyDescent="0.2">
      <c r="A8" t="s">
        <v>13</v>
      </c>
      <c r="B8">
        <v>1</v>
      </c>
      <c r="D8">
        <v>48</v>
      </c>
      <c r="F8" t="s">
        <v>19</v>
      </c>
      <c r="G8">
        <v>100</v>
      </c>
      <c r="H8">
        <v>6000</v>
      </c>
      <c r="I8">
        <f>H8*0.1</f>
        <v>600</v>
      </c>
      <c r="Q8" t="s">
        <v>30</v>
      </c>
      <c r="R8">
        <v>3225</v>
      </c>
      <c r="S8">
        <v>6000</v>
      </c>
      <c r="T8">
        <f t="shared" si="0"/>
        <v>2775</v>
      </c>
      <c r="V8">
        <v>3</v>
      </c>
      <c r="W8">
        <f t="shared" si="1"/>
        <v>8325</v>
      </c>
    </row>
    <row r="9" spans="1:23" x14ac:dyDescent="0.2">
      <c r="C9" t="s">
        <v>8</v>
      </c>
      <c r="D9">
        <f>SUM(D3:D8)</f>
        <v>8824</v>
      </c>
      <c r="H9" t="s">
        <v>8</v>
      </c>
      <c r="I9">
        <f>SUM(I3:I8)</f>
        <v>10327.26</v>
      </c>
      <c r="M9" t="s">
        <v>8</v>
      </c>
      <c r="N9">
        <f>SUM(N3:N5)</f>
        <v>4400.7</v>
      </c>
      <c r="Q9" t="s">
        <v>38</v>
      </c>
      <c r="R9">
        <v>4737</v>
      </c>
      <c r="S9">
        <v>7000</v>
      </c>
      <c r="T9">
        <f t="shared" si="0"/>
        <v>2263</v>
      </c>
      <c r="W9">
        <f t="shared" si="1"/>
        <v>0</v>
      </c>
    </row>
    <row r="10" spans="1:23" x14ac:dyDescent="0.2">
      <c r="C10" t="s">
        <v>51</v>
      </c>
      <c r="D10">
        <v>16000</v>
      </c>
      <c r="H10" t="s">
        <v>51</v>
      </c>
      <c r="I10">
        <v>16000</v>
      </c>
      <c r="M10" t="s">
        <v>51</v>
      </c>
      <c r="N10">
        <v>16000</v>
      </c>
      <c r="Q10" t="s">
        <v>42</v>
      </c>
      <c r="R10">
        <v>5769</v>
      </c>
      <c r="S10">
        <v>7000</v>
      </c>
      <c r="T10">
        <f t="shared" si="0"/>
        <v>1231</v>
      </c>
      <c r="V10">
        <v>3</v>
      </c>
      <c r="W10">
        <f t="shared" si="1"/>
        <v>3693</v>
      </c>
    </row>
    <row r="11" spans="1:23" x14ac:dyDescent="0.2">
      <c r="C11" t="s">
        <v>52</v>
      </c>
      <c r="D11">
        <f>D10-D9</f>
        <v>7176</v>
      </c>
      <c r="H11" t="s">
        <v>52</v>
      </c>
      <c r="I11">
        <f>I10-I9</f>
        <v>5672.74</v>
      </c>
      <c r="M11" t="s">
        <v>52</v>
      </c>
      <c r="N11">
        <f>N10-N9</f>
        <v>11599.3</v>
      </c>
      <c r="Q11" t="s">
        <v>58</v>
      </c>
      <c r="R11">
        <v>1500</v>
      </c>
      <c r="S11">
        <v>4500</v>
      </c>
      <c r="T11">
        <f t="shared" si="0"/>
        <v>3000</v>
      </c>
      <c r="V11">
        <v>1</v>
      </c>
      <c r="W11">
        <f>V11*T11</f>
        <v>3000</v>
      </c>
    </row>
    <row r="12" spans="1:23" x14ac:dyDescent="0.2">
      <c r="A12" t="s">
        <v>23</v>
      </c>
      <c r="F12" t="s">
        <v>27</v>
      </c>
      <c r="V12" t="s">
        <v>59</v>
      </c>
      <c r="W12">
        <f>SUM(W2:W11)</f>
        <v>75542</v>
      </c>
    </row>
    <row r="13" spans="1:23" x14ac:dyDescent="0.2">
      <c r="A13" t="s">
        <v>0</v>
      </c>
      <c r="B13" t="s">
        <v>1</v>
      </c>
      <c r="C13" t="s">
        <v>9</v>
      </c>
      <c r="D13" t="s">
        <v>2</v>
      </c>
      <c r="F13" t="s">
        <v>0</v>
      </c>
      <c r="G13" t="s">
        <v>1</v>
      </c>
      <c r="H13" t="s">
        <v>9</v>
      </c>
      <c r="I13" t="s">
        <v>2</v>
      </c>
    </row>
    <row r="14" spans="1:23" x14ac:dyDescent="0.2">
      <c r="A14" t="s">
        <v>15</v>
      </c>
      <c r="B14" t="s">
        <v>24</v>
      </c>
      <c r="C14">
        <v>7900</v>
      </c>
      <c r="D14">
        <v>7900</v>
      </c>
      <c r="F14" t="s">
        <v>28</v>
      </c>
      <c r="G14">
        <v>375</v>
      </c>
      <c r="H14">
        <v>3000</v>
      </c>
      <c r="I14">
        <f>3000*0.375</f>
        <v>1125</v>
      </c>
    </row>
    <row r="15" spans="1:23" x14ac:dyDescent="0.2">
      <c r="A15" t="s">
        <v>17</v>
      </c>
      <c r="B15">
        <v>250</v>
      </c>
      <c r="C15">
        <v>3500</v>
      </c>
      <c r="D15">
        <f>C15*0.25</f>
        <v>875</v>
      </c>
      <c r="F15" t="s">
        <v>15</v>
      </c>
      <c r="G15">
        <v>340</v>
      </c>
      <c r="H15">
        <v>7900</v>
      </c>
      <c r="I15">
        <f>7900*0.34</f>
        <v>2686</v>
      </c>
    </row>
    <row r="16" spans="1:23" x14ac:dyDescent="0.2">
      <c r="A16" t="s">
        <v>18</v>
      </c>
      <c r="B16">
        <v>100</v>
      </c>
      <c r="C16">
        <v>2500</v>
      </c>
      <c r="D16">
        <f>C16*0.1</f>
        <v>250</v>
      </c>
      <c r="F16" t="s">
        <v>16</v>
      </c>
      <c r="G16">
        <v>15</v>
      </c>
      <c r="H16">
        <v>18324</v>
      </c>
      <c r="I16">
        <f>H16*0.015</f>
        <v>274.86</v>
      </c>
    </row>
    <row r="17" spans="1:14" x14ac:dyDescent="0.2">
      <c r="A17" t="s">
        <v>19</v>
      </c>
      <c r="B17">
        <v>100</v>
      </c>
      <c r="C17">
        <v>6000</v>
      </c>
      <c r="D17">
        <f>C17*0.1</f>
        <v>600</v>
      </c>
      <c r="F17" t="s">
        <v>17</v>
      </c>
      <c r="G17">
        <v>175</v>
      </c>
      <c r="H17">
        <v>3500</v>
      </c>
      <c r="I17">
        <f>H17*0.175</f>
        <v>612.5</v>
      </c>
    </row>
    <row r="18" spans="1:14" x14ac:dyDescent="0.2">
      <c r="A18" t="s">
        <v>25</v>
      </c>
      <c r="B18">
        <v>100</v>
      </c>
      <c r="C18">
        <v>3600</v>
      </c>
      <c r="D18">
        <f>C18*0.1</f>
        <v>360</v>
      </c>
      <c r="F18" t="s">
        <v>18</v>
      </c>
      <c r="G18">
        <v>50</v>
      </c>
      <c r="H18">
        <v>2500</v>
      </c>
      <c r="I18">
        <f>H18*0.05</f>
        <v>125</v>
      </c>
    </row>
    <row r="19" spans="1:14" x14ac:dyDescent="0.2">
      <c r="A19" t="s">
        <v>26</v>
      </c>
      <c r="D19">
        <v>150</v>
      </c>
      <c r="F19" t="s">
        <v>19</v>
      </c>
      <c r="G19">
        <v>33</v>
      </c>
      <c r="H19">
        <v>6000</v>
      </c>
      <c r="I19">
        <f>H19*0.033</f>
        <v>198</v>
      </c>
    </row>
    <row r="20" spans="1:14" x14ac:dyDescent="0.2">
      <c r="C20" t="s">
        <v>8</v>
      </c>
      <c r="D20">
        <f>SUM(D14:D19)</f>
        <v>10135</v>
      </c>
      <c r="H20" t="s">
        <v>8</v>
      </c>
      <c r="I20">
        <f>SUM(I14:I19)</f>
        <v>5021.3600000000006</v>
      </c>
    </row>
    <row r="21" spans="1:14" x14ac:dyDescent="0.2">
      <c r="C21" t="s">
        <v>51</v>
      </c>
      <c r="D21">
        <v>15000</v>
      </c>
      <c r="H21" t="s">
        <v>51</v>
      </c>
      <c r="I21">
        <v>7500</v>
      </c>
    </row>
    <row r="22" spans="1:14" x14ac:dyDescent="0.2">
      <c r="C22" t="s">
        <v>52</v>
      </c>
      <c r="D22">
        <f>D21-D20</f>
        <v>4865</v>
      </c>
      <c r="H22" t="s">
        <v>52</v>
      </c>
      <c r="I22">
        <f>I21-I20</f>
        <v>2478.6399999999994</v>
      </c>
    </row>
    <row r="24" spans="1:14" x14ac:dyDescent="0.2">
      <c r="A24" t="s">
        <v>29</v>
      </c>
    </row>
    <row r="25" spans="1:14" x14ac:dyDescent="0.2">
      <c r="A25" t="s">
        <v>30</v>
      </c>
      <c r="F25" t="s">
        <v>38</v>
      </c>
      <c r="K25" t="s">
        <v>42</v>
      </c>
    </row>
    <row r="26" spans="1:14" x14ac:dyDescent="0.2">
      <c r="A26" t="s">
        <v>0</v>
      </c>
      <c r="B26" t="s">
        <v>1</v>
      </c>
      <c r="C26" t="s">
        <v>9</v>
      </c>
      <c r="D26" t="s">
        <v>2</v>
      </c>
      <c r="F26" t="s">
        <v>0</v>
      </c>
      <c r="G26" t="s">
        <v>1</v>
      </c>
      <c r="H26" t="s">
        <v>9</v>
      </c>
      <c r="I26" t="s">
        <v>2</v>
      </c>
    </row>
    <row r="27" spans="1:14" x14ac:dyDescent="0.2">
      <c r="A27" t="s">
        <v>31</v>
      </c>
      <c r="B27">
        <v>500</v>
      </c>
      <c r="C27">
        <f>41525/3.5</f>
        <v>11864.285714285714</v>
      </c>
      <c r="D27">
        <f>C27*0.5</f>
        <v>5932.1428571428569</v>
      </c>
      <c r="F27" t="s">
        <v>39</v>
      </c>
      <c r="G27">
        <v>4</v>
      </c>
      <c r="H27">
        <f>4289/3</f>
        <v>1429.6666666666667</v>
      </c>
      <c r="I27">
        <f>H27*4</f>
        <v>5718.666666666667</v>
      </c>
      <c r="K27" t="s">
        <v>39</v>
      </c>
      <c r="L27">
        <v>3</v>
      </c>
      <c r="M27">
        <v>2462</v>
      </c>
      <c r="N27">
        <f>M27*4</f>
        <v>9848</v>
      </c>
    </row>
    <row r="28" spans="1:14" x14ac:dyDescent="0.2">
      <c r="A28" t="s">
        <v>32</v>
      </c>
      <c r="B28">
        <v>300</v>
      </c>
      <c r="C28">
        <f>37015/2.5</f>
        <v>14806</v>
      </c>
      <c r="D28">
        <f>C28*0.3</f>
        <v>4441.8</v>
      </c>
      <c r="F28" t="s">
        <v>40</v>
      </c>
      <c r="G28">
        <v>750</v>
      </c>
      <c r="H28">
        <f>27280/5</f>
        <v>5456</v>
      </c>
      <c r="I28">
        <f>H28*0.75</f>
        <v>4092</v>
      </c>
      <c r="K28" t="s">
        <v>40</v>
      </c>
      <c r="L28">
        <v>750</v>
      </c>
      <c r="M28">
        <f>27280/5</f>
        <v>5456</v>
      </c>
      <c r="N28">
        <f>M28*0.75</f>
        <v>4092</v>
      </c>
    </row>
    <row r="29" spans="1:14" x14ac:dyDescent="0.2">
      <c r="A29" t="s">
        <v>33</v>
      </c>
      <c r="B29">
        <v>110</v>
      </c>
      <c r="C29">
        <v>1485</v>
      </c>
      <c r="D29">
        <f>1485*0.11</f>
        <v>163.35</v>
      </c>
      <c r="F29" t="s">
        <v>41</v>
      </c>
      <c r="G29">
        <v>600</v>
      </c>
      <c r="H29">
        <f>37015/2.5</f>
        <v>14806</v>
      </c>
      <c r="I29">
        <f>H29*0.6</f>
        <v>8883.6</v>
      </c>
      <c r="K29" t="s">
        <v>41</v>
      </c>
      <c r="L29">
        <v>600</v>
      </c>
      <c r="M29">
        <f>37015/2.5</f>
        <v>14806</v>
      </c>
      <c r="N29">
        <f>M29*0.6</f>
        <v>8883.6</v>
      </c>
    </row>
    <row r="30" spans="1:14" x14ac:dyDescent="0.2">
      <c r="A30" t="s">
        <v>34</v>
      </c>
      <c r="B30">
        <v>3</v>
      </c>
      <c r="C30">
        <v>1700</v>
      </c>
      <c r="D30">
        <f>B30*C30</f>
        <v>5100</v>
      </c>
      <c r="F30" t="s">
        <v>37</v>
      </c>
      <c r="G30">
        <v>1</v>
      </c>
      <c r="I30">
        <v>207</v>
      </c>
      <c r="K30" t="s">
        <v>37</v>
      </c>
      <c r="L30">
        <v>1</v>
      </c>
      <c r="N30">
        <v>207</v>
      </c>
    </row>
    <row r="31" spans="1:14" x14ac:dyDescent="0.2">
      <c r="A31" t="s">
        <v>35</v>
      </c>
      <c r="B31">
        <v>10</v>
      </c>
      <c r="C31">
        <f>11800*2</f>
        <v>23600</v>
      </c>
      <c r="D31">
        <f>23600*0.01</f>
        <v>236</v>
      </c>
      <c r="F31" t="s">
        <v>11</v>
      </c>
      <c r="G31">
        <v>1</v>
      </c>
      <c r="I31">
        <v>48</v>
      </c>
      <c r="K31" t="s">
        <v>11</v>
      </c>
      <c r="L31">
        <v>1</v>
      </c>
      <c r="N31">
        <v>48</v>
      </c>
    </row>
    <row r="32" spans="1:14" x14ac:dyDescent="0.2">
      <c r="A32" t="s">
        <v>37</v>
      </c>
      <c r="B32">
        <v>1</v>
      </c>
      <c r="D32">
        <v>207</v>
      </c>
      <c r="H32" t="s">
        <v>8</v>
      </c>
      <c r="I32">
        <f>SUM(I27:I31)</f>
        <v>18949.26666666667</v>
      </c>
      <c r="M32" t="s">
        <v>8</v>
      </c>
      <c r="N32">
        <f>SUM(N27:N31)</f>
        <v>23078.6</v>
      </c>
    </row>
    <row r="33" spans="1:14" x14ac:dyDescent="0.2">
      <c r="A33" t="s">
        <v>11</v>
      </c>
      <c r="B33">
        <v>1</v>
      </c>
      <c r="D33">
        <v>48</v>
      </c>
      <c r="H33" t="s">
        <v>36</v>
      </c>
      <c r="I33">
        <f>I32/4</f>
        <v>4737.3166666666675</v>
      </c>
      <c r="M33" t="s">
        <v>36</v>
      </c>
      <c r="N33">
        <f>N32/4</f>
        <v>5769.65</v>
      </c>
    </row>
    <row r="34" spans="1:14" x14ac:dyDescent="0.2">
      <c r="C34" t="s">
        <v>8</v>
      </c>
      <c r="D34">
        <f>SUM(D27:D33)</f>
        <v>16128.292857142858</v>
      </c>
      <c r="H34" t="s">
        <v>51</v>
      </c>
      <c r="I34">
        <v>7000</v>
      </c>
      <c r="M34" t="s">
        <v>51</v>
      </c>
      <c r="N34">
        <v>7000</v>
      </c>
    </row>
    <row r="35" spans="1:14" x14ac:dyDescent="0.2">
      <c r="C35" t="s">
        <v>36</v>
      </c>
      <c r="D35">
        <f>D34/5</f>
        <v>3225.6585714285716</v>
      </c>
      <c r="H35" t="s">
        <v>52</v>
      </c>
      <c r="I35">
        <f>I34-I33</f>
        <v>2262.6833333333325</v>
      </c>
      <c r="M35" t="s">
        <v>52</v>
      </c>
      <c r="N35">
        <f>N34-N33</f>
        <v>1230.3500000000004</v>
      </c>
    </row>
    <row r="36" spans="1:14" x14ac:dyDescent="0.2">
      <c r="C36" t="s">
        <v>51</v>
      </c>
      <c r="D36">
        <v>6000</v>
      </c>
    </row>
    <row r="37" spans="1:14" x14ac:dyDescent="0.2">
      <c r="C37" t="s">
        <v>52</v>
      </c>
      <c r="D37">
        <f>D36-D35</f>
        <v>2774.3414285714284</v>
      </c>
    </row>
    <row r="39" spans="1:14" x14ac:dyDescent="0.2">
      <c r="A39" t="s">
        <v>43</v>
      </c>
    </row>
    <row r="40" spans="1:14" x14ac:dyDescent="0.2">
      <c r="A40" t="s">
        <v>44</v>
      </c>
      <c r="F40" t="s">
        <v>50</v>
      </c>
    </row>
    <row r="41" spans="1:14" x14ac:dyDescent="0.2">
      <c r="A41" t="s">
        <v>0</v>
      </c>
      <c r="B41" t="s">
        <v>1</v>
      </c>
      <c r="C41" t="s">
        <v>9</v>
      </c>
      <c r="D41" t="s">
        <v>2</v>
      </c>
      <c r="F41" t="s">
        <v>0</v>
      </c>
      <c r="G41" t="s">
        <v>1</v>
      </c>
      <c r="H41" t="s">
        <v>9</v>
      </c>
      <c r="I41" t="s">
        <v>2</v>
      </c>
    </row>
    <row r="42" spans="1:14" x14ac:dyDescent="0.2">
      <c r="A42" t="s">
        <v>45</v>
      </c>
      <c r="B42">
        <v>350</v>
      </c>
      <c r="C42">
        <v>2000</v>
      </c>
      <c r="D42">
        <f>2000*0.35</f>
        <v>700</v>
      </c>
      <c r="F42" t="s">
        <v>49</v>
      </c>
      <c r="G42">
        <v>300</v>
      </c>
      <c r="H42">
        <v>2000</v>
      </c>
      <c r="I42">
        <f>2000*0.3</f>
        <v>600</v>
      </c>
    </row>
    <row r="43" spans="1:14" x14ac:dyDescent="0.2">
      <c r="A43" t="s">
        <v>46</v>
      </c>
      <c r="B43">
        <v>250</v>
      </c>
      <c r="C43">
        <v>1629</v>
      </c>
      <c r="D43">
        <f>1629*0.25</f>
        <v>407.25</v>
      </c>
      <c r="F43" t="s">
        <v>46</v>
      </c>
      <c r="G43">
        <v>250</v>
      </c>
      <c r="H43">
        <v>1629</v>
      </c>
      <c r="I43">
        <f>1629*0.25</f>
        <v>407.25</v>
      </c>
    </row>
    <row r="44" spans="1:14" x14ac:dyDescent="0.2">
      <c r="A44" t="s">
        <v>33</v>
      </c>
      <c r="B44">
        <v>100</v>
      </c>
      <c r="C44">
        <v>1485</v>
      </c>
      <c r="D44">
        <v>150</v>
      </c>
      <c r="F44" t="s">
        <v>33</v>
      </c>
      <c r="G44">
        <v>100</v>
      </c>
      <c r="H44">
        <v>1485</v>
      </c>
      <c r="I44">
        <v>150</v>
      </c>
    </row>
    <row r="45" spans="1:14" x14ac:dyDescent="0.2">
      <c r="A45" t="s">
        <v>47</v>
      </c>
      <c r="B45">
        <v>3</v>
      </c>
      <c r="D45">
        <v>450</v>
      </c>
      <c r="F45" t="s">
        <v>47</v>
      </c>
      <c r="G45">
        <v>3</v>
      </c>
      <c r="I45">
        <v>450</v>
      </c>
    </row>
    <row r="46" spans="1:14" x14ac:dyDescent="0.2">
      <c r="A46" t="s">
        <v>20</v>
      </c>
      <c r="B46">
        <v>240</v>
      </c>
      <c r="C46">
        <f>13637/3</f>
        <v>4545.666666666667</v>
      </c>
      <c r="D46">
        <f>4545*0.24</f>
        <v>1090.8</v>
      </c>
      <c r="F46" t="s">
        <v>20</v>
      </c>
      <c r="G46">
        <v>240</v>
      </c>
      <c r="H46">
        <f>13637/3</f>
        <v>4545.666666666667</v>
      </c>
      <c r="I46">
        <f>4545*0.24</f>
        <v>1090.8</v>
      </c>
    </row>
    <row r="47" spans="1:14" x14ac:dyDescent="0.2">
      <c r="A47" t="s">
        <v>48</v>
      </c>
      <c r="B47">
        <v>1</v>
      </c>
      <c r="D47">
        <v>200</v>
      </c>
      <c r="F47" t="s">
        <v>48</v>
      </c>
      <c r="G47">
        <v>1</v>
      </c>
      <c r="I47">
        <v>200</v>
      </c>
    </row>
    <row r="48" spans="1:14" x14ac:dyDescent="0.2">
      <c r="C48" t="s">
        <v>8</v>
      </c>
      <c r="D48">
        <f>SUM(D42:D47)</f>
        <v>2998.05</v>
      </c>
      <c r="H48" t="s">
        <v>8</v>
      </c>
      <c r="I48">
        <f>SUM(I42:I47)</f>
        <v>2898.05</v>
      </c>
    </row>
    <row r="49" spans="3:9" x14ac:dyDescent="0.2">
      <c r="C49" t="s">
        <v>36</v>
      </c>
      <c r="D49">
        <f>D48/2</f>
        <v>1499.0250000000001</v>
      </c>
      <c r="H49" t="s">
        <v>36</v>
      </c>
      <c r="I49">
        <f>I48/2</f>
        <v>1449.0250000000001</v>
      </c>
    </row>
    <row r="50" spans="3:9" x14ac:dyDescent="0.2">
      <c r="C50" t="s">
        <v>51</v>
      </c>
      <c r="D50">
        <v>4500</v>
      </c>
      <c r="H50" t="s">
        <v>51</v>
      </c>
      <c r="I50">
        <v>4500</v>
      </c>
    </row>
    <row r="51" spans="3:9" x14ac:dyDescent="0.2">
      <c r="C51" t="s">
        <v>52</v>
      </c>
      <c r="D51">
        <f>D50-D49</f>
        <v>3000.9749999999999</v>
      </c>
      <c r="H51" t="s">
        <v>52</v>
      </c>
      <c r="I51">
        <f>I50-I49</f>
        <v>3050.9749999999999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Leonel Garcia</dc:creator>
  <cp:lastModifiedBy>Leonel Garcia</cp:lastModifiedBy>
  <dcterms:created xsi:type="dcterms:W3CDTF">2026-09-07T21:39:21Z</dcterms:created>
  <dcterms:modified xsi:type="dcterms:W3CDTF">2026-09-09T20:58:32Z</dcterms:modified>
</cp:coreProperties>
</file>